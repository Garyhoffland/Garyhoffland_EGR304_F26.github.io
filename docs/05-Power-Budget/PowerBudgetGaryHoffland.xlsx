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0CD2BE17B3AA72E0/Documents/"/>
    </mc:Choice>
  </mc:AlternateContent>
  <xr:revisionPtr revIDLastSave="1" documentId="8_{7BADFD28-5018-496F-86AD-1B60182EB75C}" xr6:coauthVersionLast="47" xr6:coauthVersionMax="47" xr10:uidLastSave="{0A823A3D-F734-4792-8863-6E5D6543DC9E}"/>
  <bookViews>
    <workbookView xWindow="-108" yWindow="-108" windowWidth="23256" windowHeight="12456" xr2:uid="{00000000-000D-0000-FFFF-FFFF00000000}"/>
  </bookViews>
  <sheets>
    <sheet name="Power 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0" i="1"/>
  <c r="G22" i="1" s="1"/>
  <c r="G19" i="1"/>
  <c r="G18" i="1"/>
  <c r="G17" i="1"/>
  <c r="G16" i="1"/>
  <c r="G15" i="1"/>
  <c r="G12" i="1"/>
  <c r="G11" i="1"/>
  <c r="G10" i="1"/>
  <c r="G9" i="1"/>
  <c r="G8" i="1"/>
  <c r="G29" i="1" l="1"/>
  <c r="G32" i="1" s="1"/>
  <c r="G35" i="1"/>
  <c r="G36" i="1" s="1"/>
  <c r="G25" i="1"/>
</calcChain>
</file>

<file path=xl/sharedStrings.xml><?xml version="1.0" encoding="utf-8"?>
<sst xmlns="http://schemas.openxmlformats.org/spreadsheetml/2006/main" count="113" uniqueCount="58">
  <si>
    <t>Power Budget</t>
  </si>
  <si>
    <t>Team Number:</t>
  </si>
  <si>
    <t>Project Name:</t>
  </si>
  <si>
    <t>Team Member Names: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</si>
  <si>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</si>
  <si>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</si>
  <si>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</si>
  <si>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</si>
  <si>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</si>
  <si>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SupplyVoltageRange</t>
  </si>
  <si>
    <t>#</t>
  </si>
  <si>
    <t>AbsoluteMaximumCurrent (mA)</t>
  </si>
  <si>
    <t>TotalCurrent(mA)</t>
  </si>
  <si>
    <t>Unit</t>
  </si>
  <si>
    <t>PIC Microcontroller</t>
  </si>
  <si>
    <t>PIC18F57Q43</t>
  </si>
  <si>
    <t>+1.8V - 5.5V</t>
  </si>
  <si>
    <t>mA</t>
  </si>
  <si>
    <t>Quad Op-Amp</t>
  </si>
  <si>
    <t>LM324N</t>
  </si>
  <si>
    <t>+3.0V - 32V</t>
  </si>
  <si>
    <t>Reflective Optical Sensor</t>
  </si>
  <si>
    <t>OPB732</t>
  </si>
  <si>
    <t>+5.0V</t>
  </si>
  <si>
    <t>Piezo Buzzer</t>
  </si>
  <si>
    <t>PT-1407</t>
  </si>
  <si>
    <t>+3.0V - 15V</t>
  </si>
  <si>
    <t>Debug LED (red)</t>
  </si>
  <si>
    <t>Standard LED</t>
  </si>
  <si>
    <t>+1.4V - 2.0V</t>
  </si>
  <si>
    <t>+5V Power Rail</t>
  </si>
  <si>
    <t>Subtotal</t>
  </si>
  <si>
    <t>Safety Margin</t>
  </si>
  <si>
    <t>Total Current Required on +5V Rail</t>
  </si>
  <si>
    <t>c2. Regulator or Source CI</t>
  </si>
  <si>
    <t>+5V Regulator</t>
  </si>
  <si>
    <t>LM7805</t>
  </si>
  <si>
    <t>+7V - 35V</t>
  </si>
  <si>
    <t>Total Remaining Current Available on +5V Rail</t>
  </si>
  <si>
    <t>External Power Source 1</t>
  </si>
  <si>
    <t>Output</t>
  </si>
  <si>
    <t>Power Source 1 Selection</t>
  </si>
  <si>
    <t>9V PP3 Alkaline Battery</t>
  </si>
  <si>
    <t>6LR61 / 9V Heavy Duty</t>
  </si>
  <si>
    <t>9V DC</t>
  </si>
  <si>
    <t>9V</t>
  </si>
  <si>
    <t>Power Rails Connected</t>
  </si>
  <si>
    <t>to External Power</t>
  </si>
  <si>
    <t>Source 1</t>
  </si>
  <si>
    <t>Total Remaining Current Available on External Power Source 1</t>
  </si>
  <si>
    <t>Capacity(mAh)</t>
  </si>
  <si>
    <t>RequiredByRegulators</t>
  </si>
  <si>
    <t>9V Alkaline Battery</t>
  </si>
  <si>
    <t>6LR61</t>
  </si>
  <si>
    <t>Battery Life</t>
  </si>
  <si>
    <t>hours</t>
  </si>
  <si>
    <t>Team 101</t>
  </si>
  <si>
    <t>Gary Hoffland, Caleb Ross, Daksh Raghav Preetha, Connor Erwin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</si>
</sst>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00"/>
        <bgColor rgb="FFFFF200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/>
    <xf numFmtId="0" fontId="2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3" fillId="0" borderId="1" xfId="0" applyFont="1" applyBorder="1"/>
    <xf numFmtId="9" fontId="3" fillId="0" borderId="1" xfId="0" applyNumberFormat="1" applyFont="1" applyBorder="1" applyAlignment="1">
      <alignment horizontal="right" vertical="center"/>
    </xf>
    <xf numFmtId="0" fontId="2" fillId="0" borderId="1" xfId="0" applyFont="1" applyBorder="1"/>
    <xf numFmtId="0" fontId="3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64" fontId="2" fillId="0" borderId="1" xfId="0" applyNumberFormat="1" applyFont="1" applyBorder="1"/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="74" zoomScaleNormal="74" workbookViewId="0">
      <selection activeCell="I6" sqref="I6"/>
    </sheetView>
  </sheetViews>
  <sheetFormatPr defaultRowHeight="14.4" x14ac:dyDescent="0.3"/>
  <cols>
    <col min="1" max="1" width="28" customWidth="1"/>
    <col min="2" max="2" width="26" customWidth="1"/>
    <col min="3" max="3" width="22" customWidth="1"/>
    <col min="4" max="4" width="29.109375" customWidth="1"/>
    <col min="5" max="5" width="12" customWidth="1"/>
    <col min="6" max="6" width="28" customWidth="1"/>
    <col min="7" max="7" width="20" customWidth="1"/>
    <col min="8" max="8" width="10" customWidth="1"/>
  </cols>
  <sheetData>
    <row r="1" spans="1:8" ht="21" x14ac:dyDescent="0.3">
      <c r="A1" s="20" t="s">
        <v>0</v>
      </c>
      <c r="B1" s="21"/>
      <c r="C1" s="21"/>
      <c r="D1" s="21"/>
      <c r="E1" s="21"/>
      <c r="F1" s="21"/>
      <c r="G1" s="21"/>
      <c r="H1" s="21"/>
    </row>
    <row r="2" spans="1:8" x14ac:dyDescent="0.3">
      <c r="A2" s="1" t="s">
        <v>1</v>
      </c>
      <c r="C2" s="18">
        <v>101</v>
      </c>
      <c r="D2" s="19"/>
    </row>
    <row r="3" spans="1:8" x14ac:dyDescent="0.3">
      <c r="A3" s="1" t="s">
        <v>2</v>
      </c>
      <c r="C3" s="18" t="s">
        <v>56</v>
      </c>
      <c r="D3" s="19"/>
    </row>
    <row r="4" spans="1:8" x14ac:dyDescent="0.3">
      <c r="A4" s="1" t="s">
        <v>3</v>
      </c>
      <c r="C4" s="18" t="s">
        <v>57</v>
      </c>
      <c r="D4" s="19"/>
    </row>
    <row r="5" spans="1:8" x14ac:dyDescent="0.3">
      <c r="A5" s="1" t="s">
        <v>4</v>
      </c>
      <c r="C5" s="18">
        <v>1</v>
      </c>
      <c r="D5" s="19"/>
    </row>
    <row r="6" spans="1:8" x14ac:dyDescent="0.3">
      <c r="A6" s="22" t="s">
        <v>5</v>
      </c>
      <c r="B6" s="21"/>
      <c r="C6" s="21"/>
      <c r="D6" s="21"/>
      <c r="E6" s="21"/>
      <c r="F6" s="21"/>
      <c r="G6" s="21"/>
      <c r="H6" s="21"/>
    </row>
    <row r="7" spans="1:8" x14ac:dyDescent="0.3">
      <c r="A7" s="4" t="s">
        <v>6</v>
      </c>
      <c r="B7" s="4" t="s">
        <v>7</v>
      </c>
      <c r="C7" s="4" t="s">
        <v>8</v>
      </c>
      <c r="D7" s="4" t="s">
        <v>9</v>
      </c>
      <c r="E7" s="5" t="s">
        <v>10</v>
      </c>
      <c r="F7" s="5" t="s">
        <v>11</v>
      </c>
      <c r="G7" s="5" t="s">
        <v>12</v>
      </c>
      <c r="H7" s="4" t="s">
        <v>13</v>
      </c>
    </row>
    <row r="8" spans="1:8" x14ac:dyDescent="0.3">
      <c r="A8" s="6" t="s">
        <v>14</v>
      </c>
      <c r="B8" s="2" t="s">
        <v>14</v>
      </c>
      <c r="C8" s="2" t="s">
        <v>15</v>
      </c>
      <c r="D8" s="2" t="s">
        <v>16</v>
      </c>
      <c r="E8" s="7">
        <v>1</v>
      </c>
      <c r="F8" s="8">
        <v>30</v>
      </c>
      <c r="G8" s="8">
        <f>E8*F8</f>
        <v>30</v>
      </c>
      <c r="H8" s="2" t="s">
        <v>17</v>
      </c>
    </row>
    <row r="9" spans="1:8" x14ac:dyDescent="0.3">
      <c r="A9" s="6"/>
      <c r="B9" s="2" t="s">
        <v>18</v>
      </c>
      <c r="C9" s="2" t="s">
        <v>19</v>
      </c>
      <c r="D9" s="2" t="s">
        <v>20</v>
      </c>
      <c r="E9" s="7">
        <v>1</v>
      </c>
      <c r="F9" s="8">
        <v>3</v>
      </c>
      <c r="G9" s="8">
        <f>E9*F9</f>
        <v>3</v>
      </c>
      <c r="H9" s="2" t="s">
        <v>17</v>
      </c>
    </row>
    <row r="10" spans="1:8" x14ac:dyDescent="0.3">
      <c r="A10" s="6"/>
      <c r="B10" s="2" t="s">
        <v>21</v>
      </c>
      <c r="C10" s="2" t="s">
        <v>22</v>
      </c>
      <c r="D10" s="2" t="s">
        <v>23</v>
      </c>
      <c r="E10" s="7">
        <v>1</v>
      </c>
      <c r="F10" s="8">
        <v>17.3</v>
      </c>
      <c r="G10" s="8">
        <f>E10*F10</f>
        <v>17.3</v>
      </c>
      <c r="H10" s="2" t="s">
        <v>17</v>
      </c>
    </row>
    <row r="11" spans="1:8" x14ac:dyDescent="0.3">
      <c r="A11" s="6"/>
      <c r="B11" s="2" t="s">
        <v>24</v>
      </c>
      <c r="C11" s="2" t="s">
        <v>25</v>
      </c>
      <c r="D11" s="2" t="s">
        <v>26</v>
      </c>
      <c r="E11" s="7">
        <v>1</v>
      </c>
      <c r="F11" s="8">
        <v>15</v>
      </c>
      <c r="G11" s="8">
        <f>E11*F11</f>
        <v>15</v>
      </c>
      <c r="H11" s="2" t="s">
        <v>17</v>
      </c>
    </row>
    <row r="12" spans="1:8" x14ac:dyDescent="0.3">
      <c r="A12" s="6"/>
      <c r="B12" s="2" t="s">
        <v>27</v>
      </c>
      <c r="C12" s="2" t="s">
        <v>28</v>
      </c>
      <c r="D12" s="2" t="s">
        <v>29</v>
      </c>
      <c r="E12" s="7">
        <v>1</v>
      </c>
      <c r="F12" s="8">
        <v>9.1</v>
      </c>
      <c r="G12" s="8">
        <f>E12*F12</f>
        <v>9.1</v>
      </c>
      <c r="H12" s="2" t="s">
        <v>17</v>
      </c>
    </row>
    <row r="13" spans="1:8" x14ac:dyDescent="0.3">
      <c r="A13" s="3"/>
      <c r="B13" s="3"/>
      <c r="C13" s="3"/>
      <c r="D13" s="3"/>
      <c r="E13" s="3"/>
      <c r="F13" s="3"/>
      <c r="G13" s="3"/>
      <c r="H13" s="3"/>
    </row>
    <row r="14" spans="1:8" x14ac:dyDescent="0.3">
      <c r="A14" s="9" t="s">
        <v>30</v>
      </c>
      <c r="B14" s="4" t="s">
        <v>7</v>
      </c>
      <c r="C14" s="4" t="s">
        <v>8</v>
      </c>
      <c r="D14" s="4" t="s">
        <v>9</v>
      </c>
      <c r="E14" s="5" t="s">
        <v>10</v>
      </c>
      <c r="F14" s="5" t="s">
        <v>11</v>
      </c>
      <c r="G14" s="5" t="s">
        <v>12</v>
      </c>
      <c r="H14" s="4" t="s">
        <v>13</v>
      </c>
    </row>
    <row r="15" spans="1:8" x14ac:dyDescent="0.3">
      <c r="A15" s="6"/>
      <c r="B15" s="2" t="s">
        <v>14</v>
      </c>
      <c r="C15" s="2" t="s">
        <v>15</v>
      </c>
      <c r="D15" s="2" t="s">
        <v>16</v>
      </c>
      <c r="E15" s="7">
        <v>1</v>
      </c>
      <c r="F15" s="8">
        <v>30</v>
      </c>
      <c r="G15" s="8">
        <f>E15*F15</f>
        <v>30</v>
      </c>
      <c r="H15" s="2" t="s">
        <v>17</v>
      </c>
    </row>
    <row r="16" spans="1:8" x14ac:dyDescent="0.3">
      <c r="A16" s="6"/>
      <c r="B16" s="2" t="s">
        <v>18</v>
      </c>
      <c r="C16" s="2" t="s">
        <v>19</v>
      </c>
      <c r="D16" s="2" t="s">
        <v>20</v>
      </c>
      <c r="E16" s="7">
        <v>1</v>
      </c>
      <c r="F16" s="8">
        <v>3</v>
      </c>
      <c r="G16" s="8">
        <f>E16*F16</f>
        <v>3</v>
      </c>
      <c r="H16" s="2" t="s">
        <v>17</v>
      </c>
    </row>
    <row r="17" spans="1:8" x14ac:dyDescent="0.3">
      <c r="A17" s="6"/>
      <c r="B17" s="2" t="s">
        <v>21</v>
      </c>
      <c r="C17" s="2" t="s">
        <v>22</v>
      </c>
      <c r="D17" s="2" t="s">
        <v>23</v>
      </c>
      <c r="E17" s="7">
        <v>1</v>
      </c>
      <c r="F17" s="8">
        <v>17.3</v>
      </c>
      <c r="G17" s="8">
        <f>E17*F17</f>
        <v>17.3</v>
      </c>
      <c r="H17" s="2" t="s">
        <v>17</v>
      </c>
    </row>
    <row r="18" spans="1:8" x14ac:dyDescent="0.3">
      <c r="A18" s="6"/>
      <c r="B18" s="2" t="s">
        <v>24</v>
      </c>
      <c r="C18" s="2" t="s">
        <v>25</v>
      </c>
      <c r="D18" s="2" t="s">
        <v>26</v>
      </c>
      <c r="E18" s="7">
        <v>1</v>
      </c>
      <c r="F18" s="8">
        <v>15</v>
      </c>
      <c r="G18" s="8">
        <f>E18*F18</f>
        <v>15</v>
      </c>
      <c r="H18" s="2" t="s">
        <v>17</v>
      </c>
    </row>
    <row r="19" spans="1:8" x14ac:dyDescent="0.3">
      <c r="A19" s="6"/>
      <c r="B19" s="2" t="s">
        <v>27</v>
      </c>
      <c r="C19" s="2" t="s">
        <v>28</v>
      </c>
      <c r="D19" s="2" t="s">
        <v>29</v>
      </c>
      <c r="E19" s="7">
        <v>1</v>
      </c>
      <c r="F19" s="8">
        <v>9.1</v>
      </c>
      <c r="G19" s="8">
        <f>E19*F19</f>
        <v>9.1</v>
      </c>
      <c r="H19" s="2" t="s">
        <v>17</v>
      </c>
    </row>
    <row r="20" spans="1:8" x14ac:dyDescent="0.3">
      <c r="A20" s="3"/>
      <c r="B20" s="3"/>
      <c r="C20" s="3"/>
      <c r="D20" s="3"/>
      <c r="E20" s="3"/>
      <c r="F20" s="10" t="s">
        <v>31</v>
      </c>
      <c r="G20" s="11">
        <f>SUM(G15:G19)</f>
        <v>74.399999999999991</v>
      </c>
      <c r="H20" s="12" t="s">
        <v>17</v>
      </c>
    </row>
    <row r="21" spans="1:8" x14ac:dyDescent="0.3">
      <c r="A21" s="3"/>
      <c r="B21" s="3"/>
      <c r="C21" s="3"/>
      <c r="D21" s="3"/>
      <c r="E21" s="3"/>
      <c r="F21" s="10" t="s">
        <v>32</v>
      </c>
      <c r="G21" s="13">
        <v>0.25</v>
      </c>
      <c r="H21" s="12"/>
    </row>
    <row r="22" spans="1:8" x14ac:dyDescent="0.3">
      <c r="A22" s="3"/>
      <c r="B22" s="3"/>
      <c r="C22" s="3"/>
      <c r="D22" s="3"/>
      <c r="E22" s="10" t="s">
        <v>33</v>
      </c>
      <c r="F22" s="3"/>
      <c r="G22" s="11">
        <f>G20*(1+G21)</f>
        <v>92.999999999999986</v>
      </c>
      <c r="H22" s="12" t="s">
        <v>17</v>
      </c>
    </row>
    <row r="24" spans="1:8" x14ac:dyDescent="0.3">
      <c r="A24" s="14" t="s">
        <v>34</v>
      </c>
      <c r="B24" s="12" t="s">
        <v>35</v>
      </c>
      <c r="C24" s="12" t="s">
        <v>36</v>
      </c>
      <c r="D24" s="12" t="s">
        <v>37</v>
      </c>
      <c r="E24" s="7">
        <v>1</v>
      </c>
      <c r="F24" s="7">
        <v>1000</v>
      </c>
      <c r="G24" s="7">
        <f>E24*F24</f>
        <v>1000</v>
      </c>
      <c r="H24" s="12" t="s">
        <v>17</v>
      </c>
    </row>
    <row r="25" spans="1:8" x14ac:dyDescent="0.3">
      <c r="A25" s="3"/>
      <c r="B25" s="3"/>
      <c r="C25" s="3"/>
      <c r="D25" s="3"/>
      <c r="E25" s="10" t="s">
        <v>38</v>
      </c>
      <c r="F25" s="3"/>
      <c r="G25" s="11">
        <f>G24-G22</f>
        <v>907</v>
      </c>
      <c r="H25" s="12" t="s">
        <v>17</v>
      </c>
    </row>
    <row r="27" spans="1:8" x14ac:dyDescent="0.3">
      <c r="A27" s="9" t="s">
        <v>39</v>
      </c>
      <c r="B27" s="4" t="s">
        <v>7</v>
      </c>
      <c r="C27" s="4" t="s">
        <v>8</v>
      </c>
      <c r="D27" s="4" t="s">
        <v>9</v>
      </c>
      <c r="E27" s="4" t="s">
        <v>40</v>
      </c>
      <c r="F27" s="5" t="s">
        <v>11</v>
      </c>
      <c r="G27" s="5" t="s">
        <v>12</v>
      </c>
      <c r="H27" s="4" t="s">
        <v>13</v>
      </c>
    </row>
    <row r="28" spans="1:8" x14ac:dyDescent="0.3">
      <c r="A28" s="12" t="s">
        <v>41</v>
      </c>
      <c r="B28" s="12" t="s">
        <v>42</v>
      </c>
      <c r="C28" s="12" t="s">
        <v>43</v>
      </c>
      <c r="D28" s="12" t="s">
        <v>44</v>
      </c>
      <c r="E28" s="12" t="s">
        <v>45</v>
      </c>
      <c r="F28" s="15">
        <v>500</v>
      </c>
      <c r="G28" s="15">
        <v>500</v>
      </c>
      <c r="H28" s="12" t="s">
        <v>17</v>
      </c>
    </row>
    <row r="29" spans="1:8" x14ac:dyDescent="0.3">
      <c r="A29" s="12" t="s">
        <v>46</v>
      </c>
      <c r="B29" s="12" t="s">
        <v>35</v>
      </c>
      <c r="C29" s="12" t="s">
        <v>36</v>
      </c>
      <c r="D29" s="12" t="s">
        <v>37</v>
      </c>
      <c r="E29" s="15">
        <v>1</v>
      </c>
      <c r="F29" s="15">
        <v>1000</v>
      </c>
      <c r="G29" s="15">
        <f>G22</f>
        <v>92.999999999999986</v>
      </c>
      <c r="H29" s="12" t="s">
        <v>17</v>
      </c>
    </row>
    <row r="30" spans="1:8" x14ac:dyDescent="0.3">
      <c r="A30" s="12" t="s">
        <v>47</v>
      </c>
      <c r="B30" s="3"/>
      <c r="C30" s="3"/>
      <c r="D30" s="3"/>
      <c r="E30" s="16"/>
      <c r="F30" s="16"/>
      <c r="G30" s="15">
        <v>0</v>
      </c>
      <c r="H30" s="12" t="s">
        <v>17</v>
      </c>
    </row>
    <row r="31" spans="1:8" x14ac:dyDescent="0.3">
      <c r="A31" s="12" t="s">
        <v>48</v>
      </c>
      <c r="B31" s="3"/>
      <c r="C31" s="3"/>
      <c r="D31" s="3"/>
      <c r="E31" s="16"/>
      <c r="F31" s="16"/>
      <c r="G31" s="15">
        <v>0</v>
      </c>
      <c r="H31" s="12" t="s">
        <v>17</v>
      </c>
    </row>
    <row r="32" spans="1:8" x14ac:dyDescent="0.3">
      <c r="A32" s="3"/>
      <c r="B32" s="3"/>
      <c r="C32" s="3"/>
      <c r="D32" s="3"/>
      <c r="E32" s="10" t="s">
        <v>49</v>
      </c>
      <c r="F32" s="3"/>
      <c r="G32" s="11">
        <f>G28-SUM(G29:G31)</f>
        <v>407</v>
      </c>
      <c r="H32" s="12" t="s">
        <v>17</v>
      </c>
    </row>
    <row r="34" spans="1:8" x14ac:dyDescent="0.3">
      <c r="A34" s="3"/>
      <c r="B34" s="9" t="s">
        <v>7</v>
      </c>
      <c r="C34" s="9" t="s">
        <v>8</v>
      </c>
      <c r="D34" s="9" t="s">
        <v>9</v>
      </c>
      <c r="E34" s="3"/>
      <c r="F34" s="9" t="s">
        <v>50</v>
      </c>
      <c r="G34" s="9" t="s">
        <v>51</v>
      </c>
      <c r="H34" s="3"/>
    </row>
    <row r="35" spans="1:8" x14ac:dyDescent="0.3">
      <c r="A35" s="3"/>
      <c r="B35" s="12" t="s">
        <v>52</v>
      </c>
      <c r="C35" s="12" t="s">
        <v>53</v>
      </c>
      <c r="D35" s="12" t="s">
        <v>44</v>
      </c>
      <c r="E35" s="3"/>
      <c r="F35" s="12">
        <v>550</v>
      </c>
      <c r="G35" s="12">
        <f>G22</f>
        <v>92.999999999999986</v>
      </c>
      <c r="H35" s="12" t="s">
        <v>17</v>
      </c>
    </row>
    <row r="36" spans="1:8" x14ac:dyDescent="0.3">
      <c r="A36" s="3"/>
      <c r="B36" s="3"/>
      <c r="C36" s="3"/>
      <c r="D36" s="3"/>
      <c r="E36" s="3"/>
      <c r="F36" s="14" t="s">
        <v>54</v>
      </c>
      <c r="G36" s="17">
        <f>F35/G35</f>
        <v>5.9139784946236569</v>
      </c>
      <c r="H36" s="12" t="s">
        <v>55</v>
      </c>
    </row>
  </sheetData>
  <mergeCells count="6">
    <mergeCell ref="C2:D2"/>
    <mergeCell ref="C5:D5"/>
    <mergeCell ref="A1:H1"/>
    <mergeCell ref="C3:D3"/>
    <mergeCell ref="A6:H6"/>
    <mergeCell ref="C4:D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Gary Hoffland</cp:lastModifiedBy>
  <cp:lastPrinted>2026-10-30T00:40:25Z</cp:lastPrinted>
  <dcterms:created xsi:type="dcterms:W3CDTF">2026-10-30T00:18:38Z</dcterms:created>
  <dcterms:modified xsi:type="dcterms:W3CDTF">2026-10-30T00:41:19Z</dcterms:modified>
</cp:coreProperties>
</file>